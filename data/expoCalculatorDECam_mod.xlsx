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>
    <definedName name="_xlfn._FV">#NAME?</definedName>
  </definedNames>
  <calcPr/>
  <extLst>
    <ext uri="GoogleSheetsCustomDataVersion2">
      <go:sheetsCustomData xmlns:go="http://customooxmlschemas.google.com/" r:id="rId7" roundtripDataChecksum="4gnALD9D7T3z9lKRYih8C07cNjk1PVXMHZTdURzf2+4="/>
    </ext>
  </extLst>
</workbook>
</file>

<file path=xl/sharedStrings.xml><?xml version="1.0" encoding="utf-8"?>
<sst xmlns="http://schemas.openxmlformats.org/spreadsheetml/2006/main" count="103" uniqueCount="93">
  <si>
    <t>DECam EXPOSURE TIME CALCULATOR (ETC) VER 7A</t>
  </si>
  <si>
    <t>History</t>
  </si>
  <si>
    <t>December 10 2008</t>
  </si>
  <si>
    <t>Written by Daren DePoy</t>
  </si>
  <si>
    <t>January 26 2012</t>
  </si>
  <si>
    <t>QE, filter responses updated, prettified by Alistair Walker</t>
  </si>
  <si>
    <t>Apr 8 2013</t>
  </si>
  <si>
    <t>Table of preliminary values of sky brightness as a function of lunar phase provided</t>
  </si>
  <si>
    <t>April 13 2013</t>
  </si>
  <si>
    <t>Added in Read noise, split exposures, correct u band throughput</t>
  </si>
  <si>
    <t>September 30 2013</t>
  </si>
  <si>
    <t>Ver 4: Corrected effective mirror area from 10.6 m2 to  9.7m2 and set vignetting to zero (factor 1.00, was 0.97)</t>
  </si>
  <si>
    <t>September  1 2014</t>
  </si>
  <si>
    <t>Ver 5:  Corrected the aperture used to follow the true profile (sech^2) rather than a guassian.  This changed the constant from 1.34 to 2.04</t>
  </si>
  <si>
    <t>March 1 2015</t>
  </si>
  <si>
    <t>Ver 6:  Revised QE from the definitive paper, and real-world relectivity of M1, u center wavelength changed to 375 nm from 355 nm</t>
  </si>
  <si>
    <t>Feb 18 2016</t>
  </si>
  <si>
    <t>Ver 7.  Corrected error in signal/noise due to read noise, revised the value of the RON from 10 to 7 electrons rms</t>
  </si>
  <si>
    <t>March 8 2016</t>
  </si>
  <si>
    <t>Ver 7: review by Alfredo Zenteno.   No code errors found, but corrections made to units in column H</t>
  </si>
  <si>
    <t>Instructions</t>
  </si>
  <si>
    <t>(i) Change exposure time and/or object magnitude, high-lighted with YELLOW background</t>
  </si>
  <si>
    <t>(ii) Choose your lunar phase and enter the sky brightness magnitude - sorry we'll make this smoother soon</t>
  </si>
  <si>
    <t>(iii) Read on last line the S/N of that brightness in that exposure time, highlighted with BLUE background</t>
  </si>
  <si>
    <t>filter</t>
  </si>
  <si>
    <t>DECam u</t>
  </si>
  <si>
    <t>DECam g</t>
  </si>
  <si>
    <t>DECam r</t>
  </si>
  <si>
    <t>DECam r/fast</t>
  </si>
  <si>
    <t>DECam i</t>
  </si>
  <si>
    <t>DECam z</t>
  </si>
  <si>
    <t>DECam Y</t>
  </si>
  <si>
    <t>exposure time</t>
  </si>
  <si>
    <t>sec</t>
  </si>
  <si>
    <t>sky (see table below)</t>
  </si>
  <si>
    <t>mag (AB) arcsec^-2</t>
  </si>
  <si>
    <t>bandpass</t>
  </si>
  <si>
    <t>nm; defined as wavelength difference of 90% transmission points of filter</t>
  </si>
  <si>
    <t>Hz</t>
  </si>
  <si>
    <t>cwl</t>
  </si>
  <si>
    <t>nm; assume flat spectrum source and flat filter  U adjusted ver 6, effectively cwl ia around 375 nm</t>
  </si>
  <si>
    <t>hc/lambda</t>
  </si>
  <si>
    <t>joules/photon</t>
  </si>
  <si>
    <t>0 mag</t>
  </si>
  <si>
    <t>photon/sec/m^2</t>
  </si>
  <si>
    <t>phot/sec/m^2/micron</t>
  </si>
  <si>
    <t>sky surface brightness</t>
  </si>
  <si>
    <t>joules/sec/m^2/micron/arcsec^2</t>
  </si>
  <si>
    <t>W/m^2/micron/sr</t>
  </si>
  <si>
    <t>W/cm^2/micron/sr</t>
  </si>
  <si>
    <t>telescope area</t>
  </si>
  <si>
    <t>m^2.  Was incorrect (10.6 m2)</t>
  </si>
  <si>
    <t>(9.7 fpr DECam)</t>
  </si>
  <si>
    <t>photons</t>
  </si>
  <si>
    <t>CCD qe</t>
  </si>
  <si>
    <t>electrons/photon, Revised for ver 6, from ESTRADA et al SPIE 7735, 2010</t>
  </si>
  <si>
    <t>average over "bandpass"</t>
  </si>
  <si>
    <t>corrector optics</t>
  </si>
  <si>
    <t>telescope primary</t>
  </si>
  <si>
    <t>Real measurements, not fresh aluminum</t>
  </si>
  <si>
    <t>vignetting</t>
  </si>
  <si>
    <t>atmosphere</t>
  </si>
  <si>
    <t>total throughput</t>
  </si>
  <si>
    <t>electrons/photon</t>
  </si>
  <si>
    <t>Signal from 0 mag source</t>
  </si>
  <si>
    <t>electrons</t>
  </si>
  <si>
    <t>Signal from 20 mag source</t>
  </si>
  <si>
    <t>Signal from specified source</t>
  </si>
  <si>
    <t>seeing</t>
  </si>
  <si>
    <t>specify DES r seeing; guess at change in seeing with wavelength</t>
  </si>
  <si>
    <t>aperture (=2.04*seeing)</t>
  </si>
  <si>
    <t xml:space="preserve">arcsec^2; assumes sech^2 PSF with FWHM = seeing - </t>
  </si>
  <si>
    <t>sky per pixel</t>
  </si>
  <si>
    <t>sky background per pixel, including all rows</t>
  </si>
  <si>
    <t>sky signal</t>
  </si>
  <si>
    <t>for the fast read, I assume the added sky noise of N lines</t>
  </si>
  <si>
    <t>Readout noise</t>
  </si>
  <si>
    <t>electrons/pixel</t>
  </si>
  <si>
    <t>RON squared per aperture</t>
  </si>
  <si>
    <t>electrons^2/pixel^2</t>
  </si>
  <si>
    <t>Number of reads</t>
  </si>
  <si>
    <t>Split exposures?  Only significant if RON dominates sky</t>
  </si>
  <si>
    <t>brightness (AB mag)</t>
  </si>
  <si>
    <t>"-----------------------------------S/N in time entered in line 22--------------------------------------"</t>
  </si>
  <si>
    <t>PRELIMINARY SKY BRIGHTNESS TABLE FOR DECam - caveat &gt; 50 deg from the bright Moon</t>
  </si>
  <si>
    <t>MOON days from NEW</t>
  </si>
  <si>
    <t>u</t>
  </si>
  <si>
    <t>g</t>
  </si>
  <si>
    <t>r</t>
  </si>
  <si>
    <t>i</t>
  </si>
  <si>
    <t>z</t>
  </si>
  <si>
    <t>Y</t>
  </si>
  <si>
    <t>mags(AB) per  arcsec^2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</si>
</sst>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0">
    <font>
      <sz val="10.0"/>
      <color rgb="FF000000"/>
      <name val="Verdana"/>
      <scheme val="minor"/>
    </font>
    <font>
      <b/>
      <sz val="20.0"/>
      <color theme="1"/>
      <name val="Verdana"/>
    </font>
    <font>
      <b/>
      <sz val="10.0"/>
      <color theme="1"/>
      <name val="Verdana"/>
    </font>
    <font>
      <color theme="1"/>
      <name val="Verdana"/>
      <scheme val="minor"/>
    </font>
    <font>
      <sz val="10.0"/>
      <color theme="1"/>
      <name val="Verdana"/>
    </font>
    <font/>
    <font>
      <b/>
      <sz val="10.0"/>
      <color rgb="FFDD0806"/>
      <name val="Verdana"/>
    </font>
    <font>
      <sz val="10.0"/>
      <color rgb="FFDD0806"/>
      <name val="Verdana"/>
    </font>
    <font>
      <sz val="10.0"/>
      <color rgb="FF1FB714"/>
      <name val="Verdana"/>
    </font>
    <font>
      <sz val="14.0"/>
      <color rgb="FF900000"/>
      <name val="Verdana"/>
    </font>
  </fonts>
  <fills count="9">
    <fill>
      <patternFill patternType="none"/>
    </fill>
    <fill>
      <patternFill patternType="lightGray"/>
    </fill>
    <fill>
      <patternFill patternType="solid">
        <fgColor rgb="FFFCF305"/>
        <bgColor rgb="FFFCF305"/>
      </patternFill>
    </fill>
    <fill>
      <patternFill patternType="solid">
        <fgColor rgb="FFCCFFCC"/>
        <bgColor rgb="FFCCFFCC"/>
      </patternFill>
    </fill>
    <fill>
      <patternFill patternType="solid">
        <fgColor rgb="FFC6D9F0"/>
        <bgColor rgb="FFC6D9F0"/>
      </patternFill>
    </fill>
    <fill>
      <patternFill patternType="solid">
        <fgColor theme="0"/>
        <bgColor theme="0"/>
      </patternFill>
    </fill>
    <fill>
      <patternFill patternType="solid">
        <fgColor rgb="FFFF6600"/>
        <bgColor rgb="FFFF6600"/>
      </patternFill>
    </fill>
    <fill>
      <patternFill patternType="solid">
        <fgColor rgb="FFE36C09"/>
        <bgColor rgb="FFE36C09"/>
      </patternFill>
    </fill>
    <fill>
      <patternFill patternType="solid">
        <fgColor rgb="FF99CCFF"/>
        <bgColor rgb="FF99CC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Font="1"/>
    <xf borderId="1" fillId="2" fontId="4" numFmtId="0" xfId="0" applyAlignment="1" applyBorder="1" applyFill="1" applyFont="1">
      <alignment shrinkToFit="0" vertical="bottom" wrapText="0"/>
    </xf>
    <xf borderId="2" fillId="0" fontId="5" numFmtId="0" xfId="0" applyBorder="1" applyFont="1"/>
    <xf borderId="3" fillId="0" fontId="5" numFmtId="0" xfId="0" applyBorder="1" applyFont="1"/>
    <xf borderId="4" fillId="3" fontId="4" numFmtId="0" xfId="0" applyAlignment="1" applyBorder="1" applyFill="1" applyFont="1">
      <alignment shrinkToFit="0" vertical="bottom" wrapText="0"/>
    </xf>
    <xf borderId="1" fillId="4" fontId="4" numFmtId="0" xfId="0" applyAlignment="1" applyBorder="1" applyFill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6" numFmtId="49" xfId="0" applyAlignment="1" applyFont="1" applyNumberFormat="1">
      <alignment horizontal="center" shrinkToFit="0" vertical="bottom" wrapText="0"/>
    </xf>
    <xf borderId="4" fillId="5" fontId="6" numFmtId="49" xfId="0" applyAlignment="1" applyBorder="1" applyFill="1" applyFont="1" applyNumberFormat="1">
      <alignment horizontal="center" shrinkToFit="0" vertical="bottom" wrapText="0"/>
    </xf>
    <xf borderId="0" fillId="0" fontId="7" numFmtId="0" xfId="0" applyAlignment="1" applyFont="1">
      <alignment shrinkToFit="0" vertical="bottom" wrapText="0"/>
    </xf>
    <xf borderId="4" fillId="2" fontId="2" numFmtId="0" xfId="0" applyAlignment="1" applyBorder="1" applyFont="1">
      <alignment shrinkToFit="0" vertical="bottom" wrapText="0"/>
    </xf>
    <xf borderId="4" fillId="2" fontId="2" numFmtId="0" xfId="0" applyAlignment="1" applyBorder="1" applyFont="1">
      <alignment horizontal="center"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4" fillId="3" fontId="2" numFmtId="0" xfId="0" applyAlignment="1" applyBorder="1" applyFont="1">
      <alignment shrinkToFit="0" vertical="bottom" wrapText="0"/>
    </xf>
    <xf borderId="4" fillId="3" fontId="2" numFmtId="0" xfId="0" applyAlignment="1" applyBorder="1" applyFont="1">
      <alignment horizontal="center" shrinkToFit="0" vertical="bottom" wrapText="0"/>
    </xf>
    <xf borderId="4" fillId="2" fontId="4" numFmtId="0" xfId="0" applyAlignment="1" applyBorder="1" applyFont="1">
      <alignment shrinkToFit="0" vertical="bottom" wrapText="0"/>
    </xf>
    <xf borderId="4" fillId="5" fontId="4" numFmtId="0" xfId="0" applyAlignment="1" applyBorder="1" applyFont="1">
      <alignment shrinkToFit="0" vertical="bottom" wrapText="0"/>
    </xf>
    <xf borderId="4" fillId="6" fontId="4" numFmtId="0" xfId="0" applyAlignment="1" applyBorder="1" applyFill="1" applyFont="1">
      <alignment shrinkToFit="0" vertical="bottom" wrapText="0"/>
    </xf>
    <xf borderId="4" fillId="5" fontId="4" numFmtId="11" xfId="0" applyAlignment="1" applyBorder="1" applyFont="1" applyNumberFormat="1">
      <alignment shrinkToFit="0" vertical="bottom" wrapText="0"/>
    </xf>
    <xf borderId="4" fillId="2" fontId="4" numFmtId="2" xfId="0" applyAlignment="1" applyBorder="1" applyFont="1" applyNumberFormat="1">
      <alignment readingOrder="0" shrinkToFit="0" vertical="bottom" wrapText="0"/>
    </xf>
    <xf borderId="0" fillId="0" fontId="7" numFmtId="2" xfId="0" applyAlignment="1" applyFont="1" applyNumberFormat="1">
      <alignment shrinkToFit="0" vertical="bottom" wrapText="0"/>
    </xf>
    <xf borderId="0" fillId="0" fontId="4" numFmtId="11" xfId="0" applyAlignment="1" applyFont="1" applyNumberFormat="1">
      <alignment shrinkToFit="0" vertical="bottom" wrapText="0"/>
    </xf>
    <xf borderId="0" fillId="0" fontId="4" numFmtId="1" xfId="0" applyAlignment="1" applyFont="1" applyNumberFormat="1">
      <alignment shrinkToFit="0" vertical="bottom" wrapText="0"/>
    </xf>
    <xf borderId="4" fillId="5" fontId="4" numFmtId="2" xfId="0" applyAlignment="1" applyBorder="1" applyFont="1" applyNumberFormat="1">
      <alignment shrinkToFit="0" vertical="bottom" wrapText="0"/>
    </xf>
    <xf borderId="4" fillId="5" fontId="4" numFmtId="2" xfId="0" applyAlignment="1" applyBorder="1" applyFont="1" applyNumberFormat="1">
      <alignment readingOrder="0" shrinkToFit="0" vertical="bottom" wrapText="0"/>
    </xf>
    <xf borderId="0" fillId="0" fontId="4" numFmtId="2" xfId="0" applyAlignment="1" applyFont="1" applyNumberFormat="1">
      <alignment shrinkToFit="0" vertical="bottom" wrapText="0"/>
    </xf>
    <xf borderId="4" fillId="7" fontId="4" numFmtId="11" xfId="0" applyAlignment="1" applyBorder="1" applyFill="1" applyFont="1" applyNumberFormat="1">
      <alignment shrinkToFit="0" vertical="bottom" wrapText="0"/>
    </xf>
    <xf borderId="4" fillId="7" fontId="4" numFmtId="0" xfId="0" applyAlignment="1" applyBorder="1" applyFont="1">
      <alignment shrinkToFit="0" vertical="bottom" wrapText="0"/>
    </xf>
    <xf borderId="0" fillId="0" fontId="4" numFmtId="164" xfId="0" applyAlignment="1" applyFont="1" applyNumberFormat="1">
      <alignment shrinkToFit="0" vertical="bottom" wrapText="0"/>
    </xf>
    <xf borderId="0" fillId="0" fontId="4" numFmtId="164" xfId="0" applyAlignment="1" applyFont="1" applyNumberFormat="1">
      <alignment readingOrder="0" shrinkToFit="0" vertical="bottom" wrapText="0"/>
    </xf>
    <xf borderId="0" fillId="0" fontId="4" numFmtId="1" xfId="0" applyAlignment="1" applyFont="1" applyNumberFormat="1">
      <alignment readingOrder="0" shrinkToFit="0" vertical="bottom" wrapText="0"/>
    </xf>
    <xf borderId="0" fillId="0" fontId="2" numFmtId="0" xfId="0" applyAlignment="1" applyFont="1">
      <alignment horizontal="center" shrinkToFit="0" vertical="bottom" wrapText="0"/>
    </xf>
    <xf borderId="4" fillId="8" fontId="9" numFmtId="164" xfId="0" applyAlignment="1" applyBorder="1" applyFill="1" applyFont="1" applyNumberFormat="1">
      <alignment shrinkToFit="0" vertical="bottom" wrapText="0"/>
    </xf>
    <xf borderId="4" fillId="3" fontId="4" numFmtId="164" xfId="0" applyAlignment="1" applyBorder="1" applyFont="1" applyNumberForma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2.67"/>
    <col customWidth="1" min="2" max="2" width="12.44"/>
    <col customWidth="1" min="3" max="3" width="12.78"/>
    <col customWidth="1" min="4" max="4" width="12.0"/>
    <col customWidth="1" min="5" max="5" width="14.0"/>
    <col customWidth="1" min="6" max="8" width="12.0"/>
    <col customWidth="1" min="9" max="9" width="42.33"/>
    <col customWidth="1" min="10" max="26" width="10.0"/>
  </cols>
  <sheetData>
    <row r="1" ht="12.75" customHeight="1">
      <c r="A1" s="1" t="s">
        <v>0</v>
      </c>
    </row>
    <row r="2" ht="12.75" customHeight="1"/>
    <row r="3" ht="12.75" customHeight="1"/>
    <row r="4" ht="12.75" customHeight="1"/>
    <row r="5" ht="12.75" customHeight="1">
      <c r="A5" s="2" t="s">
        <v>1</v>
      </c>
    </row>
    <row r="6" ht="12.75" customHeight="1">
      <c r="A6" s="3" t="s">
        <v>2</v>
      </c>
      <c r="B6" s="3" t="s">
        <v>3</v>
      </c>
    </row>
    <row r="7" ht="12.75" customHeight="1">
      <c r="A7" s="3" t="s">
        <v>4</v>
      </c>
      <c r="B7" s="3" t="s">
        <v>5</v>
      </c>
    </row>
    <row r="8" ht="12.75" customHeight="1">
      <c r="A8" s="3" t="s">
        <v>6</v>
      </c>
      <c r="B8" s="3" t="s">
        <v>7</v>
      </c>
    </row>
    <row r="9" ht="12.75" customHeight="1">
      <c r="A9" s="3" t="s">
        <v>8</v>
      </c>
      <c r="B9" s="3" t="s">
        <v>9</v>
      </c>
    </row>
    <row r="10" ht="12.75" customHeight="1">
      <c r="A10" s="3" t="s">
        <v>10</v>
      </c>
      <c r="B10" s="3" t="s">
        <v>11</v>
      </c>
    </row>
    <row r="11" ht="12.75" customHeight="1">
      <c r="A11" s="3" t="s">
        <v>12</v>
      </c>
      <c r="B11" s="3" t="s">
        <v>13</v>
      </c>
    </row>
    <row r="12" ht="12.75" customHeight="1">
      <c r="A12" s="3" t="s">
        <v>14</v>
      </c>
      <c r="B12" s="3" t="s">
        <v>15</v>
      </c>
    </row>
    <row r="13" ht="12.75" customHeight="1">
      <c r="A13" s="3" t="s">
        <v>16</v>
      </c>
      <c r="B13" s="3" t="s">
        <v>17</v>
      </c>
    </row>
    <row r="14" ht="12.75" customHeight="1">
      <c r="A14" s="3" t="s">
        <v>18</v>
      </c>
      <c r="B14" s="3" t="s">
        <v>19</v>
      </c>
    </row>
    <row r="15" ht="12.75" customHeight="1"/>
    <row r="16" ht="12.75" customHeight="1">
      <c r="A16" s="2" t="s">
        <v>20</v>
      </c>
      <c r="K16" s="3">
        <f>3.14*(3.5/2)^2</f>
        <v>9.61625</v>
      </c>
    </row>
    <row r="17" ht="12.75" customHeight="1">
      <c r="A17" s="4" t="s">
        <v>21</v>
      </c>
      <c r="B17" s="5"/>
      <c r="C17" s="5"/>
      <c r="D17" s="5"/>
      <c r="E17" s="5"/>
      <c r="F17" s="5"/>
      <c r="G17" s="5"/>
      <c r="H17" s="6"/>
      <c r="K17" s="3">
        <f>3.14*(0.6/2)^2</f>
        <v>0.2826</v>
      </c>
    </row>
    <row r="18" ht="12.75" customHeight="1">
      <c r="A18" s="7" t="s">
        <v>22</v>
      </c>
      <c r="B18" s="7"/>
      <c r="C18" s="7"/>
      <c r="D18" s="7"/>
      <c r="E18" s="7"/>
      <c r="F18" s="7"/>
      <c r="G18" s="7"/>
      <c r="H18" s="7"/>
    </row>
    <row r="19" ht="12.75" customHeight="1">
      <c r="A19" s="8" t="s">
        <v>23</v>
      </c>
      <c r="B19" s="5"/>
      <c r="C19" s="5"/>
      <c r="D19" s="5"/>
      <c r="E19" s="5"/>
      <c r="F19" s="5"/>
      <c r="G19" s="5"/>
      <c r="H19" s="6"/>
    </row>
    <row r="20" ht="12.75" customHeight="1"/>
    <row r="21" ht="12.75" customHeight="1">
      <c r="A21" s="9" t="s">
        <v>24</v>
      </c>
      <c r="B21" s="10" t="s">
        <v>25</v>
      </c>
      <c r="C21" s="11" t="s">
        <v>26</v>
      </c>
      <c r="D21" s="10" t="s">
        <v>27</v>
      </c>
      <c r="E21" s="10" t="s">
        <v>28</v>
      </c>
      <c r="F21" s="10" t="s">
        <v>29</v>
      </c>
      <c r="G21" s="10" t="s">
        <v>30</v>
      </c>
      <c r="H21" s="10" t="s">
        <v>31</v>
      </c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2.75" customHeight="1">
      <c r="A22" s="13" t="s">
        <v>32</v>
      </c>
      <c r="B22" s="14">
        <v>2.0</v>
      </c>
      <c r="C22" s="14">
        <v>8.0</v>
      </c>
      <c r="D22" s="14">
        <v>2.0</v>
      </c>
      <c r="E22" s="14">
        <v>2.0</v>
      </c>
      <c r="F22" s="14">
        <v>2.0</v>
      </c>
      <c r="G22" s="14">
        <v>2.0</v>
      </c>
      <c r="H22" s="14">
        <v>2.0</v>
      </c>
      <c r="I22" s="15" t="s">
        <v>33</v>
      </c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2.75" customHeight="1">
      <c r="A23" s="17" t="s">
        <v>34</v>
      </c>
      <c r="B23" s="18">
        <v>22.8</v>
      </c>
      <c r="C23" s="18">
        <v>22.1</v>
      </c>
      <c r="D23" s="18">
        <v>21.1</v>
      </c>
      <c r="E23" s="18">
        <v>21.1</v>
      </c>
      <c r="F23" s="18">
        <v>20.1</v>
      </c>
      <c r="G23" s="18">
        <v>18.7</v>
      </c>
      <c r="H23" s="18">
        <v>18.0</v>
      </c>
      <c r="I23" s="3" t="s">
        <v>35</v>
      </c>
    </row>
    <row r="24" ht="12.75" customHeight="1">
      <c r="A24" s="3" t="s">
        <v>36</v>
      </c>
      <c r="B24" s="3">
        <v>50.0</v>
      </c>
      <c r="C24" s="19">
        <v>147.0</v>
      </c>
      <c r="D24" s="3">
        <v>141.0</v>
      </c>
      <c r="E24" s="3">
        <v>141.0</v>
      </c>
      <c r="F24" s="3">
        <v>147.0</v>
      </c>
      <c r="G24" s="3">
        <v>147.0</v>
      </c>
      <c r="H24" s="3">
        <v>50.0</v>
      </c>
      <c r="I24" s="3" t="s">
        <v>37</v>
      </c>
    </row>
    <row r="25" ht="12.75" customHeight="1">
      <c r="A25" s="3" t="s">
        <v>36</v>
      </c>
      <c r="B25" s="20">
        <f t="shared" ref="B25:H25" si="1">((299792458000000000)/((B26-(B24/2)))-((299792458000000000)/(B26+(B24/2))))</f>
        <v>107068735000000</v>
      </c>
      <c r="C25" s="3">
        <f t="shared" si="1"/>
        <v>201414494177331</v>
      </c>
      <c r="D25" s="3">
        <f t="shared" si="1"/>
        <v>104965177541270</v>
      </c>
      <c r="E25" s="3">
        <f t="shared" si="1"/>
        <v>104965177541270</v>
      </c>
      <c r="F25" s="3">
        <f t="shared" si="1"/>
        <v>73942347668952</v>
      </c>
      <c r="G25" s="3">
        <f t="shared" si="1"/>
        <v>52115992031731</v>
      </c>
      <c r="H25" s="3">
        <f t="shared" si="1"/>
        <v>15150215180918</v>
      </c>
      <c r="I25" s="3" t="s">
        <v>38</v>
      </c>
    </row>
    <row r="26" ht="12.75" customHeight="1">
      <c r="A26" s="20" t="s">
        <v>39</v>
      </c>
      <c r="B26" s="20">
        <v>375.0</v>
      </c>
      <c r="C26" s="20">
        <v>473.5</v>
      </c>
      <c r="D26" s="20">
        <v>638.5</v>
      </c>
      <c r="E26" s="20">
        <v>638.5</v>
      </c>
      <c r="F26" s="20">
        <v>775.5</v>
      </c>
      <c r="G26" s="20">
        <v>922.5</v>
      </c>
      <c r="H26" s="20">
        <v>995.0</v>
      </c>
      <c r="I26" s="21" t="s">
        <v>40</v>
      </c>
      <c r="J26" s="21"/>
      <c r="K26" s="21"/>
      <c r="L26" s="21"/>
    </row>
    <row r="27" ht="12.75" customHeight="1">
      <c r="A27" s="20" t="s">
        <v>41</v>
      </c>
      <c r="B27" s="22">
        <f t="shared" ref="B27:H27" si="2">(6.626E-34)*(299800000000000000)/B26</f>
        <v>0</v>
      </c>
      <c r="C27" s="22">
        <f t="shared" si="2"/>
        <v>0</v>
      </c>
      <c r="D27" s="22">
        <f t="shared" si="2"/>
        <v>0</v>
      </c>
      <c r="E27" s="22">
        <f t="shared" si="2"/>
        <v>0</v>
      </c>
      <c r="F27" s="22">
        <f t="shared" si="2"/>
        <v>0</v>
      </c>
      <c r="G27" s="22">
        <f t="shared" si="2"/>
        <v>0</v>
      </c>
      <c r="H27" s="22">
        <f t="shared" si="2"/>
        <v>0</v>
      </c>
      <c r="I27" s="3" t="s">
        <v>42</v>
      </c>
    </row>
    <row r="28" ht="12.75" customHeight="1">
      <c r="A28" s="20" t="s">
        <v>43</v>
      </c>
      <c r="B28" s="22">
        <f t="shared" ref="B28:H28" si="3">(3.631E-23)*(B25)/B27</f>
        <v>7339004064</v>
      </c>
      <c r="C28" s="22">
        <f t="shared" si="3"/>
        <v>17432267926</v>
      </c>
      <c r="D28" s="22">
        <f t="shared" si="3"/>
        <v>12250373644</v>
      </c>
      <c r="E28" s="22">
        <f t="shared" si="3"/>
        <v>12250373644</v>
      </c>
      <c r="F28" s="22">
        <f t="shared" si="3"/>
        <v>10481374203</v>
      </c>
      <c r="G28" s="22">
        <f t="shared" si="3"/>
        <v>8787808263</v>
      </c>
      <c r="H28" s="22">
        <f t="shared" si="3"/>
        <v>2755402644</v>
      </c>
      <c r="I28" s="3" t="s">
        <v>44</v>
      </c>
    </row>
    <row r="29" ht="12.75" customHeight="1">
      <c r="A29" s="20" t="s">
        <v>43</v>
      </c>
      <c r="B29" s="22">
        <f t="shared" ref="B29:H29" si="4">B28*1000/B24</f>
        <v>146780081272</v>
      </c>
      <c r="C29" s="22">
        <f t="shared" si="4"/>
        <v>118586856643</v>
      </c>
      <c r="D29" s="22">
        <f t="shared" si="4"/>
        <v>86882082579</v>
      </c>
      <c r="E29" s="22">
        <f t="shared" si="4"/>
        <v>86882082579</v>
      </c>
      <c r="F29" s="22">
        <f t="shared" si="4"/>
        <v>71301865325</v>
      </c>
      <c r="G29" s="22">
        <f t="shared" si="4"/>
        <v>59781008593</v>
      </c>
      <c r="H29" s="22">
        <f t="shared" si="4"/>
        <v>55108052884</v>
      </c>
      <c r="I29" s="3" t="s">
        <v>45</v>
      </c>
    </row>
    <row r="30" ht="12.75" customHeight="1">
      <c r="A30" s="20"/>
      <c r="B30" s="22"/>
      <c r="C30" s="22"/>
      <c r="D30" s="22"/>
      <c r="E30" s="22"/>
      <c r="F30" s="22"/>
      <c r="G30" s="22"/>
      <c r="H30" s="22"/>
    </row>
    <row r="31" ht="12.75" customHeight="1">
      <c r="A31" s="20" t="s">
        <v>46</v>
      </c>
      <c r="B31" s="22">
        <f t="shared" ref="B31:H31" si="5">(10^(B23/(-2.5)))*B29*B27</f>
        <v>0</v>
      </c>
      <c r="C31" s="22">
        <f t="shared" si="5"/>
        <v>0</v>
      </c>
      <c r="D31" s="22">
        <f t="shared" si="5"/>
        <v>0</v>
      </c>
      <c r="E31" s="22">
        <f t="shared" si="5"/>
        <v>0</v>
      </c>
      <c r="F31" s="22">
        <f t="shared" si="5"/>
        <v>0</v>
      </c>
      <c r="G31" s="22">
        <f t="shared" si="5"/>
        <v>0</v>
      </c>
      <c r="H31" s="22">
        <f t="shared" si="5"/>
        <v>0</v>
      </c>
      <c r="I31" s="3" t="s">
        <v>47</v>
      </c>
    </row>
    <row r="32" ht="12.75" customHeight="1">
      <c r="A32" s="20" t="s">
        <v>46</v>
      </c>
      <c r="B32" s="22">
        <f t="shared" ref="B32:H32" si="6">B31*42545250225</f>
        <v>0.000002509400605</v>
      </c>
      <c r="C32" s="22">
        <f t="shared" si="6"/>
        <v>0.000003059501824</v>
      </c>
      <c r="D32" s="22">
        <f t="shared" si="6"/>
        <v>0.000004175451689</v>
      </c>
      <c r="E32" s="22">
        <f t="shared" si="6"/>
        <v>0.000004175451689</v>
      </c>
      <c r="F32" s="22">
        <f t="shared" si="6"/>
        <v>0.000007086849855</v>
      </c>
      <c r="G32" s="22">
        <f t="shared" si="6"/>
        <v>0.00001813556146</v>
      </c>
      <c r="H32" s="22">
        <f t="shared" si="6"/>
        <v>0.00002953426233</v>
      </c>
      <c r="I32" s="3" t="s">
        <v>48</v>
      </c>
    </row>
    <row r="33" ht="12.75" customHeight="1">
      <c r="A33" s="20" t="s">
        <v>46</v>
      </c>
      <c r="B33" s="22">
        <f t="shared" ref="B33:H33" si="7">B32/10000</f>
        <v>0.0000000002509400605</v>
      </c>
      <c r="C33" s="22">
        <f t="shared" si="7"/>
        <v>0.0000000003059501824</v>
      </c>
      <c r="D33" s="22">
        <f t="shared" si="7"/>
        <v>0.0000000004175451689</v>
      </c>
      <c r="E33" s="22">
        <f t="shared" si="7"/>
        <v>0.0000000004175451689</v>
      </c>
      <c r="F33" s="22">
        <f t="shared" si="7"/>
        <v>0.0000000007086849855</v>
      </c>
      <c r="G33" s="22">
        <f t="shared" si="7"/>
        <v>0.000000001813556146</v>
      </c>
      <c r="H33" s="22">
        <f t="shared" si="7"/>
        <v>0.000000002953426233</v>
      </c>
      <c r="I33" s="3" t="s">
        <v>49</v>
      </c>
    </row>
    <row r="34" ht="12.75" customHeight="1">
      <c r="A34" s="20"/>
      <c r="B34" s="22"/>
      <c r="C34" s="22"/>
      <c r="D34" s="22"/>
      <c r="E34" s="22"/>
      <c r="F34" s="22"/>
      <c r="G34" s="22"/>
      <c r="H34" s="22"/>
    </row>
    <row r="35" ht="12.75" customHeight="1">
      <c r="A35" s="19" t="s">
        <v>50</v>
      </c>
      <c r="B35" s="23">
        <v>0.29</v>
      </c>
      <c r="C35" s="23">
        <v>0.29</v>
      </c>
      <c r="D35" s="23">
        <v>0.29</v>
      </c>
      <c r="E35" s="23">
        <v>0.29</v>
      </c>
      <c r="F35" s="23">
        <v>0.29</v>
      </c>
      <c r="G35" s="23">
        <v>0.29</v>
      </c>
      <c r="H35" s="23">
        <v>0.29</v>
      </c>
      <c r="I35" s="19" t="s">
        <v>51</v>
      </c>
      <c r="J35" s="19"/>
      <c r="K35" s="19" t="s">
        <v>52</v>
      </c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2.75" customHeight="1">
      <c r="A36" s="20"/>
      <c r="B36" s="20"/>
      <c r="C36" s="20"/>
      <c r="D36" s="20"/>
      <c r="E36" s="20"/>
      <c r="F36" s="20"/>
      <c r="G36" s="20"/>
      <c r="H36" s="20"/>
    </row>
    <row r="37" ht="12.75" customHeight="1">
      <c r="A37" s="20" t="s">
        <v>43</v>
      </c>
      <c r="B37" s="22">
        <f t="shared" ref="B37:H37" si="8">B28*B35*B22</f>
        <v>4256622357</v>
      </c>
      <c r="C37" s="22">
        <f t="shared" si="8"/>
        <v>40442861589</v>
      </c>
      <c r="D37" s="22">
        <f t="shared" si="8"/>
        <v>7105216713</v>
      </c>
      <c r="E37" s="22">
        <f t="shared" si="8"/>
        <v>7105216713</v>
      </c>
      <c r="F37" s="22">
        <f t="shared" si="8"/>
        <v>6079197038</v>
      </c>
      <c r="G37" s="22">
        <f t="shared" si="8"/>
        <v>5096928793</v>
      </c>
      <c r="H37" s="22">
        <f t="shared" si="8"/>
        <v>1598133534</v>
      </c>
      <c r="I37" s="3" t="s">
        <v>53</v>
      </c>
    </row>
    <row r="38" ht="12.0" customHeight="1">
      <c r="A38" s="20"/>
      <c r="B38" s="20"/>
      <c r="C38" s="20"/>
      <c r="D38" s="20"/>
      <c r="E38" s="20"/>
      <c r="F38" s="20"/>
      <c r="G38" s="20"/>
      <c r="H38" s="20"/>
    </row>
    <row r="39" ht="12.75" customHeight="1">
      <c r="A39" s="20" t="s">
        <v>54</v>
      </c>
      <c r="B39" s="20">
        <v>0.25</v>
      </c>
      <c r="C39" s="20">
        <v>0.59</v>
      </c>
      <c r="D39" s="20">
        <v>0.75</v>
      </c>
      <c r="E39" s="20">
        <v>0.75</v>
      </c>
      <c r="F39" s="20">
        <v>0.85</v>
      </c>
      <c r="G39" s="20">
        <v>0.85</v>
      </c>
      <c r="H39" s="20">
        <v>0.5</v>
      </c>
      <c r="I39" s="20" t="s">
        <v>55</v>
      </c>
    </row>
    <row r="40" ht="12.75" customHeight="1">
      <c r="A40" s="20" t="s">
        <v>24</v>
      </c>
      <c r="B40" s="20">
        <v>0.95</v>
      </c>
      <c r="C40" s="20">
        <v>0.9</v>
      </c>
      <c r="D40" s="20">
        <v>0.9</v>
      </c>
      <c r="E40" s="20">
        <v>0.9</v>
      </c>
      <c r="F40" s="20">
        <v>0.9</v>
      </c>
      <c r="G40" s="20">
        <v>0.9</v>
      </c>
      <c r="H40" s="20">
        <v>0.9</v>
      </c>
      <c r="I40" s="3" t="s">
        <v>56</v>
      </c>
    </row>
    <row r="41" ht="12.75" customHeight="1">
      <c r="A41" s="20" t="s">
        <v>57</v>
      </c>
      <c r="B41" s="20">
        <v>0.75</v>
      </c>
      <c r="C41" s="20">
        <v>0.86</v>
      </c>
      <c r="D41" s="20">
        <v>0.86</v>
      </c>
      <c r="E41" s="20">
        <v>0.86</v>
      </c>
      <c r="F41" s="20">
        <v>0.86</v>
      </c>
      <c r="G41" s="20">
        <v>0.86</v>
      </c>
      <c r="H41" s="20">
        <v>0.75</v>
      </c>
    </row>
    <row r="42" ht="12.75" customHeight="1">
      <c r="A42" s="20" t="s">
        <v>58</v>
      </c>
      <c r="B42" s="20">
        <v>0.89</v>
      </c>
      <c r="C42" s="20">
        <v>0.89</v>
      </c>
      <c r="D42" s="20">
        <v>0.88</v>
      </c>
      <c r="E42" s="20">
        <v>0.88</v>
      </c>
      <c r="F42" s="20">
        <v>0.87</v>
      </c>
      <c r="G42" s="20">
        <v>0.88</v>
      </c>
      <c r="H42" s="20">
        <v>0.9</v>
      </c>
      <c r="I42" s="20" t="s">
        <v>59</v>
      </c>
    </row>
    <row r="43" ht="13.5" customHeight="1">
      <c r="A43" s="20" t="s">
        <v>60</v>
      </c>
      <c r="B43" s="20">
        <v>1.0</v>
      </c>
      <c r="C43" s="20">
        <v>1.0</v>
      </c>
      <c r="D43" s="20">
        <v>1.0</v>
      </c>
      <c r="E43" s="20">
        <v>1.0</v>
      </c>
      <c r="F43" s="20">
        <v>1.0</v>
      </c>
      <c r="G43" s="20">
        <v>1.0</v>
      </c>
      <c r="H43" s="20">
        <v>1.0</v>
      </c>
    </row>
    <row r="44" ht="12.75" customHeight="1">
      <c r="A44" s="20" t="s">
        <v>61</v>
      </c>
      <c r="B44" s="20">
        <v>0.7</v>
      </c>
      <c r="C44" s="20">
        <v>0.8</v>
      </c>
      <c r="D44" s="20">
        <v>0.9</v>
      </c>
      <c r="E44" s="20">
        <v>0.9</v>
      </c>
      <c r="F44" s="20">
        <v>0.9</v>
      </c>
      <c r="G44" s="20">
        <v>0.9</v>
      </c>
      <c r="H44" s="20">
        <v>0.95</v>
      </c>
    </row>
    <row r="45" ht="12.75" customHeight="1">
      <c r="A45" s="12" t="s">
        <v>62</v>
      </c>
      <c r="B45" s="24">
        <f t="shared" ref="B45:H45" si="9">B39*B40*B41*B42*B43*B44</f>
        <v>0.110971875</v>
      </c>
      <c r="C45" s="24">
        <f t="shared" si="9"/>
        <v>0.32514192</v>
      </c>
      <c r="D45" s="24">
        <f t="shared" si="9"/>
        <v>0.459756</v>
      </c>
      <c r="E45" s="24">
        <f t="shared" si="9"/>
        <v>0.459756</v>
      </c>
      <c r="F45" s="24">
        <f t="shared" si="9"/>
        <v>0.5151357</v>
      </c>
      <c r="G45" s="24">
        <f t="shared" si="9"/>
        <v>0.5210568</v>
      </c>
      <c r="H45" s="24">
        <f t="shared" si="9"/>
        <v>0.2885625</v>
      </c>
      <c r="I45" s="12" t="s">
        <v>63</v>
      </c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2.75" customHeight="1"/>
    <row r="47" ht="12.75" customHeight="1">
      <c r="A47" s="15" t="s">
        <v>64</v>
      </c>
      <c r="B47" s="25">
        <f t="shared" ref="B47:H47" si="10">B37*B45</f>
        <v>472365364.1</v>
      </c>
      <c r="C47" s="25">
        <f t="shared" si="10"/>
        <v>13149669667</v>
      </c>
      <c r="D47" s="25">
        <f t="shared" si="10"/>
        <v>3266666015</v>
      </c>
      <c r="E47" s="25">
        <f t="shared" si="10"/>
        <v>3266666015</v>
      </c>
      <c r="F47" s="25">
        <f t="shared" si="10"/>
        <v>3131611421</v>
      </c>
      <c r="G47" s="25">
        <f t="shared" si="10"/>
        <v>2655789407</v>
      </c>
      <c r="H47" s="25">
        <f t="shared" si="10"/>
        <v>461161407.8</v>
      </c>
      <c r="I47" s="15" t="s">
        <v>65</v>
      </c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2.75" customHeight="1">
      <c r="A48" s="3" t="s">
        <v>66</v>
      </c>
      <c r="B48" s="26">
        <f t="shared" ref="B48:H48" si="11">B47*(10^(20/-2.5))</f>
        <v>4.723653641</v>
      </c>
      <c r="C48" s="26">
        <f t="shared" si="11"/>
        <v>131.4966967</v>
      </c>
      <c r="D48" s="26">
        <f t="shared" si="11"/>
        <v>32.66666015</v>
      </c>
      <c r="E48" s="26">
        <f t="shared" si="11"/>
        <v>32.66666015</v>
      </c>
      <c r="F48" s="26">
        <f t="shared" si="11"/>
        <v>31.31611421</v>
      </c>
      <c r="G48" s="26">
        <f t="shared" si="11"/>
        <v>26.55789407</v>
      </c>
      <c r="H48" s="26">
        <f t="shared" si="11"/>
        <v>4.611614078</v>
      </c>
      <c r="I48" s="3" t="s">
        <v>65</v>
      </c>
    </row>
    <row r="49" ht="12.75" customHeight="1">
      <c r="A49" s="3" t="s">
        <v>67</v>
      </c>
      <c r="B49" s="26">
        <f t="shared" ref="B49:H49" si="12">B47*(10^(+$A$59/-2.5))</f>
        <v>4.723653641</v>
      </c>
      <c r="C49" s="26">
        <f t="shared" si="12"/>
        <v>131.4966967</v>
      </c>
      <c r="D49" s="26">
        <f t="shared" si="12"/>
        <v>32.66666015</v>
      </c>
      <c r="E49" s="26">
        <f t="shared" si="12"/>
        <v>32.66666015</v>
      </c>
      <c r="F49" s="26">
        <f t="shared" si="12"/>
        <v>31.31611421</v>
      </c>
      <c r="G49" s="26">
        <f t="shared" si="12"/>
        <v>26.55789407</v>
      </c>
      <c r="H49" s="26">
        <f t="shared" si="12"/>
        <v>4.611614078</v>
      </c>
      <c r="I49" s="3" t="s">
        <v>65</v>
      </c>
    </row>
    <row r="50" ht="12.75" customHeight="1">
      <c r="A50" s="20" t="s">
        <v>68</v>
      </c>
      <c r="B50" s="27">
        <f>0.2+(C50)*((C26/B26)^0.2)</f>
        <v>2.295500355</v>
      </c>
      <c r="C50" s="28">
        <v>2.0</v>
      </c>
      <c r="D50" s="27">
        <v>1.0</v>
      </c>
      <c r="E50" s="27">
        <v>1.0</v>
      </c>
      <c r="F50" s="27">
        <f t="shared" ref="F50:H50" si="13">E50*((E26/F26)^0.2)</f>
        <v>0.9618687603</v>
      </c>
      <c r="G50" s="27">
        <f t="shared" si="13"/>
        <v>0.92904961</v>
      </c>
      <c r="H50" s="27">
        <f t="shared" si="13"/>
        <v>0.9150979115</v>
      </c>
      <c r="I50" s="3" t="s">
        <v>69</v>
      </c>
    </row>
    <row r="51" ht="12.75" customHeight="1">
      <c r="A51" s="20" t="s">
        <v>70</v>
      </c>
      <c r="B51" s="29">
        <f>3.14159*((2.04*B50)/2)^2</f>
        <v>17.2228325</v>
      </c>
      <c r="C51" s="29">
        <f>3.14159*((2.04*C50/2))^2</f>
        <v>13.07404094</v>
      </c>
      <c r="D51" s="29">
        <f t="shared" ref="D51:H51" si="14">3.14159*((2.04*D50)/2)^2</f>
        <v>3.268510236</v>
      </c>
      <c r="E51" s="29">
        <f t="shared" si="14"/>
        <v>3.268510236</v>
      </c>
      <c r="F51" s="29">
        <f t="shared" si="14"/>
        <v>3.023997927</v>
      </c>
      <c r="G51" s="29">
        <f t="shared" si="14"/>
        <v>2.821159627</v>
      </c>
      <c r="H51" s="29">
        <f t="shared" si="14"/>
        <v>2.737064159</v>
      </c>
      <c r="I51" s="20" t="s">
        <v>71</v>
      </c>
    </row>
    <row r="52" ht="12.75" customHeight="1">
      <c r="A52" s="20" t="s">
        <v>72</v>
      </c>
      <c r="B52" s="29">
        <f t="shared" ref="B52:H52" si="15">(10^(B23/-2.5))*0.03*B47*$K$54</f>
        <v>0.01074977317</v>
      </c>
      <c r="C52" s="29">
        <f t="shared" si="15"/>
        <v>0.5702116653</v>
      </c>
      <c r="D52" s="29">
        <f t="shared" si="15"/>
        <v>0.3558164227</v>
      </c>
      <c r="E52" s="29">
        <f t="shared" si="15"/>
        <v>0.3558164227</v>
      </c>
      <c r="F52" s="29">
        <f t="shared" si="15"/>
        <v>0.8568190683</v>
      </c>
      <c r="G52" s="29">
        <f t="shared" si="15"/>
        <v>2.638243574</v>
      </c>
      <c r="H52" s="29">
        <f t="shared" si="15"/>
        <v>0.8729195317</v>
      </c>
      <c r="I52" s="20" t="s">
        <v>73</v>
      </c>
    </row>
    <row r="53" ht="12.75" customHeight="1">
      <c r="A53" s="3" t="s">
        <v>74</v>
      </c>
      <c r="B53" s="30">
        <f t="shared" ref="B53:G53" si="16">(10^(B23/-2.5))*B51*B47*$K$54</f>
        <v>6.171384761</v>
      </c>
      <c r="C53" s="30">
        <f t="shared" si="16"/>
        <v>248.499022</v>
      </c>
      <c r="D53" s="30">
        <f t="shared" si="16"/>
        <v>38.76632066</v>
      </c>
      <c r="E53" s="30">
        <f t="shared" si="16"/>
        <v>38.76632066</v>
      </c>
      <c r="F53" s="30">
        <f t="shared" si="16"/>
        <v>86.36730289</v>
      </c>
      <c r="G53" s="30">
        <f t="shared" si="16"/>
        <v>248.0968752</v>
      </c>
      <c r="H53" s="25">
        <f>(10^(H23/-2.5))*H51*H47</f>
        <v>79.64122546</v>
      </c>
      <c r="I53" s="3" t="s">
        <v>65</v>
      </c>
      <c r="J53" s="31" t="s">
        <v>75</v>
      </c>
      <c r="K53" s="31"/>
      <c r="L53" s="31"/>
      <c r="M53" s="31"/>
      <c r="N53" s="31"/>
      <c r="O53" s="31"/>
    </row>
    <row r="54" ht="12.75" customHeight="1">
      <c r="A54" s="3" t="s">
        <v>76</v>
      </c>
      <c r="B54" s="32">
        <v>7.0</v>
      </c>
      <c r="C54" s="33">
        <v>7.0</v>
      </c>
      <c r="D54" s="32">
        <v>7.0</v>
      </c>
      <c r="E54" s="32">
        <v>7.0</v>
      </c>
      <c r="F54" s="32">
        <v>7.0</v>
      </c>
      <c r="G54" s="32">
        <v>7.0</v>
      </c>
      <c r="H54" s="32">
        <v>7.0</v>
      </c>
      <c r="I54" s="3" t="s">
        <v>77</v>
      </c>
      <c r="K54" s="33">
        <v>1.0</v>
      </c>
    </row>
    <row r="55" ht="12.75" customHeight="1">
      <c r="A55" s="3" t="s">
        <v>78</v>
      </c>
      <c r="B55" s="32">
        <f>+B54^2*(B51/(1.43^2))</f>
        <v>412.6944069</v>
      </c>
      <c r="C55" s="32">
        <f>+(C54)^2*(C51/(1.43^2))</f>
        <v>313.2808481</v>
      </c>
      <c r="D55" s="32">
        <f t="shared" ref="D55:H55" si="17">+D54^2*(D51/(1.43^2))</f>
        <v>78.32021202</v>
      </c>
      <c r="E55" s="32">
        <f t="shared" si="17"/>
        <v>78.32021202</v>
      </c>
      <c r="F55" s="32">
        <f t="shared" si="17"/>
        <v>72.46119538</v>
      </c>
      <c r="G55" s="32">
        <f t="shared" si="17"/>
        <v>67.60077349</v>
      </c>
      <c r="H55" s="32">
        <f t="shared" si="17"/>
        <v>65.58567352</v>
      </c>
      <c r="I55" s="3" t="s">
        <v>79</v>
      </c>
    </row>
    <row r="56" ht="12.75" customHeight="1">
      <c r="A56" s="3" t="s">
        <v>80</v>
      </c>
      <c r="B56" s="26">
        <v>1.0</v>
      </c>
      <c r="C56" s="34">
        <v>1.0</v>
      </c>
      <c r="D56" s="26">
        <v>1.0</v>
      </c>
      <c r="E56" s="26">
        <v>1.0</v>
      </c>
      <c r="F56" s="26">
        <v>1.0</v>
      </c>
      <c r="G56" s="26">
        <v>1.0</v>
      </c>
      <c r="H56" s="26">
        <v>1.0</v>
      </c>
      <c r="I56" s="3" t="s">
        <v>81</v>
      </c>
    </row>
    <row r="57" ht="12.75" customHeight="1">
      <c r="B57" s="25"/>
      <c r="C57" s="25"/>
      <c r="D57" s="25"/>
      <c r="E57" s="25"/>
      <c r="F57" s="25"/>
      <c r="G57" s="25"/>
      <c r="H57" s="25"/>
    </row>
    <row r="58" ht="12.75" customHeight="1">
      <c r="A58" s="2" t="s">
        <v>82</v>
      </c>
      <c r="B58" s="35" t="s">
        <v>83</v>
      </c>
    </row>
    <row r="59" ht="18.0" customHeight="1">
      <c r="A59" s="14">
        <v>20.0</v>
      </c>
      <c r="B59" s="36">
        <f t="shared" ref="B59:H59" si="18">(B49)/(B49+B53+B56*B55)^0.5</f>
        <v>0.229512044</v>
      </c>
      <c r="C59" s="36">
        <f t="shared" si="18"/>
        <v>4.994150003</v>
      </c>
      <c r="D59" s="36">
        <f t="shared" si="18"/>
        <v>2.669418642</v>
      </c>
      <c r="E59" s="36">
        <f t="shared" si="18"/>
        <v>2.669418642</v>
      </c>
      <c r="F59" s="36">
        <f t="shared" si="18"/>
        <v>2.271045608</v>
      </c>
      <c r="G59" s="36">
        <f t="shared" si="18"/>
        <v>1.435550217</v>
      </c>
      <c r="H59" s="36">
        <f t="shared" si="18"/>
        <v>0.3767395624</v>
      </c>
    </row>
    <row r="60" ht="12.75" customHeight="1"/>
    <row r="61" ht="12.75" customHeight="1"/>
    <row r="62" ht="12.75" customHeight="1">
      <c r="D62" s="3">
        <f>SQRT(D53)</f>
        <v>6.226260568</v>
      </c>
    </row>
    <row r="63" ht="12.75" customHeight="1"/>
    <row r="64" ht="12.75" customHeight="1">
      <c r="B64" s="2" t="s">
        <v>84</v>
      </c>
      <c r="C64" s="2"/>
      <c r="D64" s="2"/>
      <c r="E64" s="2"/>
      <c r="F64" s="2"/>
      <c r="G64" s="2"/>
      <c r="H64" s="2"/>
    </row>
    <row r="65" ht="12.75" customHeight="1"/>
    <row r="66" ht="12.75" customHeight="1"/>
    <row r="67" ht="12.75" customHeight="1">
      <c r="A67" s="17" t="s">
        <v>85</v>
      </c>
      <c r="B67" s="18" t="s">
        <v>86</v>
      </c>
      <c r="C67" s="18" t="s">
        <v>87</v>
      </c>
      <c r="D67" s="18" t="s">
        <v>88</v>
      </c>
      <c r="E67" s="18" t="s">
        <v>88</v>
      </c>
      <c r="F67" s="18" t="s">
        <v>89</v>
      </c>
      <c r="G67" s="18" t="s">
        <v>90</v>
      </c>
      <c r="H67" s="18" t="s">
        <v>91</v>
      </c>
    </row>
    <row r="68" ht="12.75" customHeight="1">
      <c r="A68" s="17">
        <v>0.0</v>
      </c>
      <c r="B68" s="37">
        <v>22.8</v>
      </c>
      <c r="C68" s="37">
        <v>22.05</v>
      </c>
      <c r="D68" s="37">
        <v>21.05</v>
      </c>
      <c r="E68" s="37">
        <v>21.05</v>
      </c>
      <c r="F68" s="37">
        <v>20.1</v>
      </c>
      <c r="G68" s="37">
        <v>18.7</v>
      </c>
      <c r="H68" s="37">
        <v>18.0</v>
      </c>
    </row>
    <row r="69" ht="12.75" customHeight="1">
      <c r="A69" s="17">
        <v>3.0</v>
      </c>
      <c r="B69" s="37">
        <v>22.3</v>
      </c>
      <c r="C69" s="37">
        <v>21.8</v>
      </c>
      <c r="D69" s="37">
        <v>20.9</v>
      </c>
      <c r="E69" s="37">
        <v>20.9</v>
      </c>
      <c r="F69" s="37">
        <v>20.1</v>
      </c>
      <c r="G69" s="37">
        <v>18.7</v>
      </c>
      <c r="H69" s="37">
        <v>18.0</v>
      </c>
    </row>
    <row r="70" ht="12.75" customHeight="1">
      <c r="A70" s="17">
        <v>7.0</v>
      </c>
      <c r="B70" s="37">
        <v>20.7</v>
      </c>
      <c r="C70" s="37">
        <v>21.2</v>
      </c>
      <c r="D70" s="37">
        <v>20.6</v>
      </c>
      <c r="E70" s="37">
        <v>20.6</v>
      </c>
      <c r="F70" s="37">
        <v>19.9</v>
      </c>
      <c r="G70" s="37">
        <v>18.6</v>
      </c>
      <c r="H70" s="37">
        <v>18.0</v>
      </c>
    </row>
    <row r="71" ht="12.75" customHeight="1">
      <c r="A71" s="17">
        <v>10.0</v>
      </c>
      <c r="B71" s="37">
        <v>19.2</v>
      </c>
      <c r="C71" s="37">
        <v>20.4</v>
      </c>
      <c r="D71" s="37">
        <v>20.2</v>
      </c>
      <c r="E71" s="37">
        <v>20.2</v>
      </c>
      <c r="F71" s="37">
        <v>19.7</v>
      </c>
      <c r="G71" s="37">
        <v>18.5</v>
      </c>
      <c r="H71" s="37">
        <v>17.9</v>
      </c>
    </row>
    <row r="72" ht="12.75" customHeight="1">
      <c r="A72" s="17">
        <v>14.0</v>
      </c>
      <c r="B72" s="37">
        <v>17.7</v>
      </c>
      <c r="C72" s="37">
        <v>19.4</v>
      </c>
      <c r="D72" s="37">
        <v>19.7</v>
      </c>
      <c r="E72" s="37">
        <v>19.7</v>
      </c>
      <c r="F72" s="37">
        <v>19.4</v>
      </c>
      <c r="G72" s="37">
        <v>18.2</v>
      </c>
      <c r="H72" s="37">
        <v>17.7</v>
      </c>
    </row>
    <row r="73" ht="12.75" customHeight="1"/>
    <row r="74" ht="12.75" customHeight="1">
      <c r="B74" s="3" t="s">
        <v>92</v>
      </c>
    </row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">
    <mergeCell ref="A1:H3"/>
    <mergeCell ref="A17:H17"/>
    <mergeCell ref="A19:H19"/>
    <mergeCell ref="B58:H5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0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0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2007-12-06T17:34:06Z</dcterms:created>
  <dc:creator>Darren DePoy</dc:creator>
</cp:coreProperties>
</file>